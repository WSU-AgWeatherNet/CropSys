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stoc\OneDrive - Washington State University (email.wsu.edu)\Desktop\Working at home\CropSyst Manual and Software\VBA Modules\FINAL VBA MODULES\"/>
    </mc:Choice>
  </mc:AlternateContent>
  <xr:revisionPtr revIDLastSave="0" documentId="13_ncr:1_{9F564630-5A32-4295-BD87-2C8975E4D22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8" r:id="rId1"/>
    <sheet name="Output" sheetId="19" r:id="rId2"/>
    <sheet name="Soil Hydraulic Properties" sheetId="24" r:id="rId3"/>
  </sheets>
  <functionGroups builtInGroupCount="19"/>
  <definedNames>
    <definedName name="solver_adj" localSheetId="0" hidden="1">Input!$F$17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Input!$L$17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0.1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19" l="1"/>
  <c r="D23" i="19"/>
  <c r="B23" i="19" l="1"/>
  <c r="J21" i="18"/>
  <c r="L19" i="18"/>
  <c r="K18" i="18"/>
  <c r="G21" i="18"/>
  <c r="J18" i="18"/>
  <c r="G25" i="18"/>
  <c r="K22" i="18"/>
  <c r="G26" i="18"/>
  <c r="G19" i="18"/>
  <c r="J26" i="18"/>
  <c r="J19" i="18"/>
  <c r="J17" i="18"/>
  <c r="K26" i="18"/>
  <c r="L25" i="18"/>
  <c r="G20" i="18"/>
  <c r="G18" i="18"/>
  <c r="K23" i="18"/>
  <c r="K19" i="18"/>
  <c r="L20" i="18"/>
  <c r="J23" i="18"/>
  <c r="L24" i="18"/>
  <c r="G24" i="18"/>
  <c r="G17" i="18"/>
  <c r="J24" i="18"/>
  <c r="K17" i="18"/>
  <c r="K21" i="18"/>
  <c r="L21" i="18"/>
  <c r="J22" i="18"/>
  <c r="L23" i="18"/>
  <c r="L22" i="18"/>
  <c r="K25" i="18"/>
  <c r="G23" i="18"/>
  <c r="L18" i="18"/>
  <c r="K20" i="18"/>
  <c r="J25" i="18"/>
  <c r="L17" i="18"/>
  <c r="J20" i="18"/>
  <c r="L26" i="18"/>
  <c r="G22" i="18"/>
  <c r="K24" i="18"/>
</calcChain>
</file>

<file path=xl/sharedStrings.xml><?xml version="1.0" encoding="utf-8"?>
<sst xmlns="http://schemas.openxmlformats.org/spreadsheetml/2006/main" count="125" uniqueCount="98">
  <si>
    <t>Crop Parameters</t>
  </si>
  <si>
    <t xml:space="preserve">  root depth (m)</t>
  </si>
  <si>
    <t xml:space="preserve">  leaf water potential at wilting (zero transpiration) (J/kg)</t>
  </si>
  <si>
    <t>Soil Parameters</t>
  </si>
  <si>
    <t>Layer</t>
  </si>
  <si>
    <t>thick (m)</t>
  </si>
  <si>
    <t>(m3/m3)</t>
  </si>
  <si>
    <t>PWP</t>
  </si>
  <si>
    <t xml:space="preserve">  leaf water potential at the onset of stomatal closure (J/kg)</t>
  </si>
  <si>
    <t>Bulk Dens</t>
  </si>
  <si>
    <t>(Mg/m3)</t>
  </si>
  <si>
    <t>Pot (J/kg)</t>
  </si>
  <si>
    <t>Air Entry</t>
  </si>
  <si>
    <t>b</t>
  </si>
  <si>
    <t>Crop Water Uptake</t>
  </si>
  <si>
    <t>WP at FC</t>
  </si>
  <si>
    <t>WP at PWP</t>
  </si>
  <si>
    <t>(J/kg)</t>
  </si>
  <si>
    <t>WC</t>
  </si>
  <si>
    <t>FC</t>
  </si>
  <si>
    <t xml:space="preserve"> </t>
  </si>
  <si>
    <t>Water Pot</t>
  </si>
  <si>
    <t>PAW</t>
  </si>
  <si>
    <t xml:space="preserve">  Number of soil layers</t>
  </si>
  <si>
    <t xml:space="preserve">Water </t>
  </si>
  <si>
    <t>Uptake</t>
  </si>
  <si>
    <t>(mm/day)</t>
  </si>
  <si>
    <t>Fraction</t>
  </si>
  <si>
    <t>Number</t>
  </si>
  <si>
    <t>Root</t>
  </si>
  <si>
    <t>Summary of Daily Crop Water Uptake</t>
  </si>
  <si>
    <t>Potential Crop Transpiration (mm/day) (as given by atmospheric demand)</t>
  </si>
  <si>
    <t>Plant</t>
  </si>
  <si>
    <t xml:space="preserve"> Total Uptake (mm/day)</t>
  </si>
  <si>
    <t xml:space="preserve"> Precipitation canopy interception(mm)</t>
  </si>
  <si>
    <t xml:space="preserve"> Actual Water Uptake (mm/day)</t>
  </si>
  <si>
    <t>Silt</t>
  </si>
  <si>
    <t>Clay</t>
  </si>
  <si>
    <t>Sand</t>
  </si>
  <si>
    <t>Bulk</t>
  </si>
  <si>
    <t>Campbell b</t>
  </si>
  <si>
    <t>Saturated</t>
  </si>
  <si>
    <t>Field</t>
  </si>
  <si>
    <t>Permanent</t>
  </si>
  <si>
    <t>Texture</t>
  </si>
  <si>
    <t>Content</t>
  </si>
  <si>
    <t>Saturation</t>
  </si>
  <si>
    <t>Density</t>
  </si>
  <si>
    <t>Potential</t>
  </si>
  <si>
    <t>Value</t>
  </si>
  <si>
    <t>Hydr. Cond.</t>
  </si>
  <si>
    <t>Capacity (*)</t>
  </si>
  <si>
    <t>Wilt (*)</t>
  </si>
  <si>
    <t>Available</t>
  </si>
  <si>
    <t>(%)</t>
  </si>
  <si>
    <t>Water</t>
  </si>
  <si>
    <t>sand</t>
  </si>
  <si>
    <t>loamy sand</t>
  </si>
  <si>
    <t>sandy loam</t>
  </si>
  <si>
    <t>sandy clay loam</t>
  </si>
  <si>
    <t>loam</t>
  </si>
  <si>
    <t>sandy clay</t>
  </si>
  <si>
    <t>silt loam</t>
  </si>
  <si>
    <t>silt</t>
  </si>
  <si>
    <t>clay loam</t>
  </si>
  <si>
    <t>silty clay loam</t>
  </si>
  <si>
    <t>silty clay</t>
  </si>
  <si>
    <t>clay</t>
  </si>
  <si>
    <t xml:space="preserve">  Crop coefficient at maximum canopy development</t>
  </si>
  <si>
    <t xml:space="preserve">  Reference Crop ETo (mm/day)</t>
  </si>
  <si>
    <t xml:space="preserve"> Green canopy cover at maximum canopy size</t>
  </si>
  <si>
    <t xml:space="preserve"> Current green canopy cover</t>
  </si>
  <si>
    <t>DO NOT TOUCH</t>
  </si>
  <si>
    <t>Evapotranspiration Parameters</t>
  </si>
  <si>
    <t xml:space="preserve">  Maximum crop water uptake with canopy fully shading the soil</t>
  </si>
  <si>
    <t>Potential Water Uptake (mm/day) (as given by crop characteristics)</t>
  </si>
  <si>
    <t>Actual Transpiration (mm/day) (assumed equal to actual water uptake + canopy intercepted water evaporated)</t>
  </si>
  <si>
    <t>Crop Water Stress Index (0 = no stress; 1 = maximum stress)</t>
  </si>
  <si>
    <t>Hours to</t>
  </si>
  <si>
    <t>Apparent</t>
  </si>
  <si>
    <t>at Field Cap.</t>
  </si>
  <si>
    <t>Capacity</t>
  </si>
  <si>
    <t>Sat Hyd Cond</t>
  </si>
  <si>
    <t>(m3 m-3)</t>
  </si>
  <si>
    <t>(Mg m-3)</t>
  </si>
  <si>
    <t>(J kg-1)</t>
  </si>
  <si>
    <t>(kg s m-3)</t>
  </si>
  <si>
    <t xml:space="preserve"> Canopy Water Potential (J/kg)</t>
  </si>
  <si>
    <t>(*) Field Capacity is reported as the water content at -33 J/kg.  Permanent Wilting Point is reported as the water content at -1500 J/kg</t>
  </si>
  <si>
    <t>Based on a field-measured database (Ratlif et al., 1983)</t>
  </si>
  <si>
    <t>Activity</t>
  </si>
  <si>
    <t>Soil Water</t>
  </si>
  <si>
    <t>(0-1)</t>
  </si>
  <si>
    <t>Root Fraction</t>
  </si>
  <si>
    <t>Adjusted</t>
  </si>
  <si>
    <t>Expected Water Uptake (mm/day) (minimum of (potential transpiration, potential water uptake) - water intercepted by canopy)</t>
  </si>
  <si>
    <t xml:space="preserve"> Average Soil Water Potential (J/kg)</t>
  </si>
  <si>
    <t>Sum ---&gt;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</si>
</sst>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4" x14ac:knownFonts="1">
    <font>
      <sz val="10"/>
      <name val="Arial"/>
    </font>
    <font>
      <b/>
      <sz val="14"/>
      <color indexed="17"/>
      <name val="Arial"/>
      <family val="2"/>
    </font>
    <font>
      <sz val="14"/>
      <name val="Arial"/>
      <family val="2"/>
    </font>
    <font>
      <b/>
      <sz val="14"/>
      <color indexed="58"/>
      <name val="Arial"/>
      <family val="2"/>
    </font>
    <font>
      <b/>
      <sz val="14"/>
      <color indexed="12"/>
      <name val="Arial"/>
      <family val="2"/>
    </font>
    <font>
      <b/>
      <sz val="14"/>
      <color indexed="10"/>
      <name val="Arial"/>
      <family val="2"/>
    </font>
    <font>
      <b/>
      <sz val="14"/>
      <color indexed="56"/>
      <name val="Arial"/>
      <family val="2"/>
    </font>
    <font>
      <b/>
      <sz val="14"/>
      <name val="Arial"/>
      <family val="2"/>
    </font>
    <font>
      <sz val="14"/>
      <color indexed="13"/>
      <name val="Arial"/>
      <family val="2"/>
    </font>
    <font>
      <b/>
      <sz val="14"/>
      <color indexed="8"/>
      <name val="Arial"/>
      <family val="2"/>
    </font>
    <font>
      <b/>
      <sz val="16"/>
      <color rgb="FF000000"/>
      <name val="Arial"/>
      <family val="2"/>
    </font>
    <font>
      <b/>
      <sz val="14"/>
      <color theme="1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4" fontId="5" fillId="0" borderId="0" xfId="0" applyNumberFormat="1" applyFont="1"/>
    <xf numFmtId="0" fontId="7" fillId="0" borderId="0" xfId="0" applyFont="1"/>
    <xf numFmtId="0" fontId="8" fillId="0" borderId="0" xfId="0" applyFont="1"/>
    <xf numFmtId="0" fontId="9" fillId="2" borderId="0" xfId="0" applyFont="1" applyFill="1"/>
    <xf numFmtId="0" fontId="11" fillId="0" borderId="0" xfId="0" applyFont="1"/>
    <xf numFmtId="164" fontId="11" fillId="0" borderId="0" xfId="0" applyNumberFormat="1" applyFont="1"/>
    <xf numFmtId="165" fontId="11" fillId="3" borderId="0" xfId="0" applyNumberFormat="1" applyFont="1" applyFill="1"/>
    <xf numFmtId="164" fontId="11" fillId="3" borderId="0" xfId="0" applyNumberFormat="1" applyFont="1" applyFill="1"/>
    <xf numFmtId="164" fontId="0" fillId="0" borderId="0" xfId="0" applyNumberFormat="1"/>
    <xf numFmtId="11" fontId="0" fillId="0" borderId="0" xfId="0" applyNumberFormat="1"/>
    <xf numFmtId="0" fontId="12" fillId="0" borderId="0" xfId="0" applyFont="1"/>
    <xf numFmtId="0" fontId="0" fillId="4" borderId="0" xfId="0" applyFill="1"/>
    <xf numFmtId="164" fontId="0" fillId="4" borderId="0" xfId="0" applyNumberFormat="1" applyFill="1"/>
    <xf numFmtId="165" fontId="0" fillId="4" borderId="0" xfId="0" applyNumberFormat="1" applyFill="1"/>
    <xf numFmtId="11" fontId="0" fillId="4" borderId="0" xfId="0" applyNumberFormat="1" applyFill="1"/>
    <xf numFmtId="0" fontId="13" fillId="0" borderId="0" xfId="0" applyFont="1"/>
    <xf numFmtId="0" fontId="2" fillId="3" borderId="3" xfId="0" applyFont="1" applyFill="1" applyBorder="1"/>
    <xf numFmtId="0" fontId="2" fillId="3" borderId="1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8</xdr:row>
          <xdr:rowOff>142875</xdr:rowOff>
        </xdr:from>
        <xdr:to>
          <xdr:col>7</xdr:col>
          <xdr:colOff>923925</xdr:colOff>
          <xdr:row>12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Q35"/>
  <sheetViews>
    <sheetView tabSelected="1" workbookViewId="0">
      <selection activeCell="F3" sqref="F3"/>
    </sheetView>
  </sheetViews>
  <sheetFormatPr defaultColWidth="16.140625" defaultRowHeight="18" x14ac:dyDescent="0.25"/>
  <cols>
    <col min="1" max="3" width="16.140625" style="2"/>
    <col min="4" max="4" width="16.140625" style="2" customWidth="1"/>
    <col min="5" max="6" width="16.140625" style="2"/>
    <col min="7" max="7" width="21.5703125" style="2" customWidth="1"/>
    <col min="8" max="16384" width="16.140625" style="2"/>
  </cols>
  <sheetData>
    <row r="1" spans="1:17" x14ac:dyDescent="0.25">
      <c r="A1" s="1" t="s">
        <v>14</v>
      </c>
    </row>
    <row r="2" spans="1:17" x14ac:dyDescent="0.25">
      <c r="H2" s="3"/>
      <c r="K2" s="4"/>
      <c r="L2" s="5"/>
    </row>
    <row r="3" spans="1:17" x14ac:dyDescent="0.25">
      <c r="A3" s="1" t="s">
        <v>73</v>
      </c>
      <c r="B3" s="1"/>
      <c r="K3" s="4"/>
      <c r="L3" s="5"/>
    </row>
    <row r="4" spans="1:17" x14ac:dyDescent="0.25">
      <c r="A4" s="5">
        <v>8</v>
      </c>
      <c r="B4" s="4" t="s">
        <v>69</v>
      </c>
      <c r="G4" s="5"/>
      <c r="H4" s="4"/>
      <c r="K4" s="4"/>
      <c r="L4" s="5"/>
    </row>
    <row r="5" spans="1:17" x14ac:dyDescent="0.25">
      <c r="A5" s="5">
        <v>1.2</v>
      </c>
      <c r="B5" s="4" t="s">
        <v>68</v>
      </c>
      <c r="H5" s="5">
        <v>0</v>
      </c>
      <c r="I5" s="4" t="s">
        <v>34</v>
      </c>
      <c r="K5" s="4"/>
      <c r="L5" s="5"/>
    </row>
    <row r="6" spans="1:17" x14ac:dyDescent="0.25">
      <c r="A6" s="1" t="s">
        <v>0</v>
      </c>
      <c r="H6" s="4"/>
      <c r="I6" s="5"/>
      <c r="K6" s="4"/>
      <c r="L6" s="5"/>
    </row>
    <row r="7" spans="1:17" x14ac:dyDescent="0.25">
      <c r="A7" s="5">
        <v>12</v>
      </c>
      <c r="B7" s="6" t="s">
        <v>74</v>
      </c>
      <c r="H7" s="5">
        <v>2</v>
      </c>
      <c r="I7" s="6" t="s">
        <v>1</v>
      </c>
    </row>
    <row r="8" spans="1:17" x14ac:dyDescent="0.25">
      <c r="A8" s="5">
        <v>-1200</v>
      </c>
      <c r="B8" s="6" t="s">
        <v>8</v>
      </c>
    </row>
    <row r="9" spans="1:17" x14ac:dyDescent="0.25">
      <c r="A9" s="5">
        <v>-1500</v>
      </c>
      <c r="B9" s="6" t="s">
        <v>2</v>
      </c>
    </row>
    <row r="10" spans="1:17" x14ac:dyDescent="0.25">
      <c r="A10" s="5">
        <v>0.95</v>
      </c>
      <c r="B10" s="6" t="s">
        <v>70</v>
      </c>
      <c r="I10" s="6"/>
    </row>
    <row r="11" spans="1:17" x14ac:dyDescent="0.25">
      <c r="A11" s="5">
        <v>1</v>
      </c>
      <c r="B11" s="6" t="s">
        <v>71</v>
      </c>
    </row>
    <row r="12" spans="1:17" x14ac:dyDescent="0.25">
      <c r="A12" s="5"/>
      <c r="B12" s="6"/>
    </row>
    <row r="13" spans="1:17" ht="18.75" thickBot="1" x14ac:dyDescent="0.3">
      <c r="A13" s="1" t="s">
        <v>3</v>
      </c>
    </row>
    <row r="14" spans="1:17" ht="18.75" thickBot="1" x14ac:dyDescent="0.3">
      <c r="A14" s="5">
        <v>10</v>
      </c>
      <c r="B14" s="6" t="s">
        <v>23</v>
      </c>
      <c r="C14" s="6"/>
      <c r="D14" s="6"/>
      <c r="E14" s="6"/>
      <c r="F14" s="6"/>
      <c r="G14" s="25" t="s">
        <v>72</v>
      </c>
      <c r="J14" s="26" t="s">
        <v>72</v>
      </c>
      <c r="K14" s="27"/>
      <c r="L14" s="28"/>
    </row>
    <row r="15" spans="1:17" x14ac:dyDescent="0.25">
      <c r="A15" s="7" t="s">
        <v>4</v>
      </c>
      <c r="B15" s="7" t="s">
        <v>5</v>
      </c>
      <c r="C15" s="7" t="s">
        <v>9</v>
      </c>
      <c r="D15" s="7" t="s">
        <v>12</v>
      </c>
      <c r="E15" s="7" t="s">
        <v>13</v>
      </c>
      <c r="F15" s="7" t="s">
        <v>18</v>
      </c>
      <c r="G15" s="7" t="s">
        <v>21</v>
      </c>
      <c r="H15" s="7" t="s">
        <v>15</v>
      </c>
      <c r="I15" s="7" t="s">
        <v>16</v>
      </c>
      <c r="J15" s="7" t="s">
        <v>19</v>
      </c>
      <c r="K15" s="7" t="s">
        <v>7</v>
      </c>
      <c r="L15" s="7" t="s">
        <v>22</v>
      </c>
      <c r="M15" s="8"/>
      <c r="N15" s="8"/>
      <c r="O15" s="4"/>
      <c r="P15" s="8"/>
      <c r="Q15" s="8"/>
    </row>
    <row r="16" spans="1:17" x14ac:dyDescent="0.25">
      <c r="A16" s="7"/>
      <c r="B16" s="7"/>
      <c r="C16" s="7" t="s">
        <v>10</v>
      </c>
      <c r="D16" s="7" t="s">
        <v>11</v>
      </c>
      <c r="E16" s="7"/>
      <c r="F16" s="7" t="s">
        <v>6</v>
      </c>
      <c r="G16" s="7" t="s">
        <v>17</v>
      </c>
      <c r="H16" s="7" t="s">
        <v>17</v>
      </c>
      <c r="I16" s="7" t="s">
        <v>17</v>
      </c>
      <c r="J16" s="7" t="s">
        <v>6</v>
      </c>
      <c r="K16" s="7" t="s">
        <v>6</v>
      </c>
      <c r="L16" s="7" t="s">
        <v>6</v>
      </c>
      <c r="M16" s="7"/>
      <c r="O16" s="7"/>
      <c r="P16" s="8"/>
      <c r="Q16" s="8"/>
    </row>
    <row r="17" spans="1:17" x14ac:dyDescent="0.25">
      <c r="A17" s="13">
        <v>1</v>
      </c>
      <c r="B17" s="13">
        <v>0.2</v>
      </c>
      <c r="C17" s="13">
        <v>1.64</v>
      </c>
      <c r="D17" s="13">
        <v>-0.46</v>
      </c>
      <c r="E17" s="13">
        <v>4.8499999999999996</v>
      </c>
      <c r="F17" s="14">
        <v>0.09</v>
      </c>
      <c r="G17" s="15">
        <f t="shared" ref="G17:G26" si="0">GetSoilWaterPotential(C17,D17,E17,F17)</f>
        <v>-504.54238891601563</v>
      </c>
      <c r="H17" s="14">
        <v>-30</v>
      </c>
      <c r="I17" s="14">
        <v>-1500</v>
      </c>
      <c r="J17" s="16">
        <f t="shared" ref="J17:J26" si="1">GetSoilWaterContent(C17,D17,E17,H17)</f>
        <v>0.16105711460113525</v>
      </c>
      <c r="K17" s="16">
        <f>GetSoilWaterContent(C17,D17,E17,I17)</f>
        <v>7.1891382336616516E-2</v>
      </c>
      <c r="L17" s="16">
        <f>GetPlantAvailableWater(C17,D17,E17,F17,H17,I17)</f>
        <v>0.20308947563171387</v>
      </c>
      <c r="M17" s="5"/>
      <c r="N17" s="5"/>
      <c r="O17" s="5"/>
      <c r="P17" s="5"/>
      <c r="Q17" s="5"/>
    </row>
    <row r="18" spans="1:17" x14ac:dyDescent="0.25">
      <c r="A18" s="13">
        <v>2</v>
      </c>
      <c r="B18" s="13">
        <v>0.2</v>
      </c>
      <c r="C18" s="13">
        <v>1.64</v>
      </c>
      <c r="D18" s="13">
        <v>-0.46</v>
      </c>
      <c r="E18" s="13">
        <v>4.8499999999999996</v>
      </c>
      <c r="F18" s="14">
        <v>0.09</v>
      </c>
      <c r="G18" s="15">
        <f t="shared" si="0"/>
        <v>-504.54238891601563</v>
      </c>
      <c r="H18" s="14">
        <v>-30</v>
      </c>
      <c r="I18" s="14">
        <v>-1500</v>
      </c>
      <c r="J18" s="16">
        <f t="shared" si="1"/>
        <v>0.16105711460113525</v>
      </c>
      <c r="K18" s="16">
        <f t="shared" ref="K18:K26" si="2">GetSoilWaterContent(C18,D18,E18,I18)</f>
        <v>7.1891382336616516E-2</v>
      </c>
      <c r="L18" s="16">
        <f t="shared" ref="L18:L26" si="3">GetPlantAvailableWater(C18,D18,E18,F18,H18,I18)</f>
        <v>0.20308947563171387</v>
      </c>
      <c r="M18" s="5"/>
      <c r="N18" s="5"/>
      <c r="O18" s="5"/>
      <c r="P18" s="5"/>
      <c r="Q18" s="5"/>
    </row>
    <row r="19" spans="1:17" x14ac:dyDescent="0.25">
      <c r="A19" s="13">
        <v>3</v>
      </c>
      <c r="B19" s="13">
        <v>0.2</v>
      </c>
      <c r="C19" s="13">
        <v>1.64</v>
      </c>
      <c r="D19" s="13">
        <v>-0.46</v>
      </c>
      <c r="E19" s="13">
        <v>4.8499999999999996</v>
      </c>
      <c r="F19" s="14">
        <v>0.09</v>
      </c>
      <c r="G19" s="15">
        <f t="shared" si="0"/>
        <v>-504.54238891601563</v>
      </c>
      <c r="H19" s="14">
        <v>-30</v>
      </c>
      <c r="I19" s="14">
        <v>-1500</v>
      </c>
      <c r="J19" s="16">
        <f t="shared" si="1"/>
        <v>0.16105711460113525</v>
      </c>
      <c r="K19" s="16">
        <f t="shared" si="2"/>
        <v>7.1891382336616516E-2</v>
      </c>
      <c r="L19" s="16">
        <f t="shared" si="3"/>
        <v>0.20308947563171387</v>
      </c>
      <c r="M19" s="5"/>
      <c r="N19" s="5"/>
      <c r="O19" s="5"/>
      <c r="P19" s="5"/>
      <c r="Q19" s="5"/>
    </row>
    <row r="20" spans="1:17" x14ac:dyDescent="0.25">
      <c r="A20" s="13">
        <v>4</v>
      </c>
      <c r="B20" s="13">
        <v>0.2</v>
      </c>
      <c r="C20" s="13">
        <v>1.64</v>
      </c>
      <c r="D20" s="13">
        <v>-0.46</v>
      </c>
      <c r="E20" s="13">
        <v>4.8499999999999996</v>
      </c>
      <c r="F20" s="14">
        <v>0.09</v>
      </c>
      <c r="G20" s="15">
        <f t="shared" si="0"/>
        <v>-504.54238891601563</v>
      </c>
      <c r="H20" s="14">
        <v>-30</v>
      </c>
      <c r="I20" s="14">
        <v>-1500</v>
      </c>
      <c r="J20" s="16">
        <f t="shared" si="1"/>
        <v>0.16105711460113525</v>
      </c>
      <c r="K20" s="16">
        <f t="shared" si="2"/>
        <v>7.1891382336616516E-2</v>
      </c>
      <c r="L20" s="16">
        <f t="shared" si="3"/>
        <v>0.20308947563171387</v>
      </c>
      <c r="M20" s="5"/>
      <c r="N20" s="5"/>
      <c r="O20" s="5"/>
      <c r="P20" s="5"/>
      <c r="Q20" s="5"/>
    </row>
    <row r="21" spans="1:17" x14ac:dyDescent="0.25">
      <c r="A21" s="13">
        <v>5</v>
      </c>
      <c r="B21" s="13">
        <v>0.2</v>
      </c>
      <c r="C21" s="13">
        <v>1.64</v>
      </c>
      <c r="D21" s="13">
        <v>-0.46</v>
      </c>
      <c r="E21" s="13">
        <v>4.8499999999999996</v>
      </c>
      <c r="F21" s="14">
        <v>0.09</v>
      </c>
      <c r="G21" s="15">
        <f t="shared" si="0"/>
        <v>-504.54238891601563</v>
      </c>
      <c r="H21" s="14">
        <v>-30</v>
      </c>
      <c r="I21" s="14">
        <v>-1500</v>
      </c>
      <c r="J21" s="16">
        <f t="shared" si="1"/>
        <v>0.16105711460113525</v>
      </c>
      <c r="K21" s="16">
        <f t="shared" si="2"/>
        <v>7.1891382336616516E-2</v>
      </c>
      <c r="L21" s="16">
        <f t="shared" si="3"/>
        <v>0.20308947563171387</v>
      </c>
      <c r="M21" s="5"/>
      <c r="N21" s="5"/>
      <c r="O21" s="5"/>
      <c r="P21" s="5"/>
      <c r="Q21" s="5"/>
    </row>
    <row r="22" spans="1:17" x14ac:dyDescent="0.25">
      <c r="A22" s="13">
        <v>6</v>
      </c>
      <c r="B22" s="13">
        <v>0.2</v>
      </c>
      <c r="C22" s="13">
        <v>1.64</v>
      </c>
      <c r="D22" s="13">
        <v>-0.46</v>
      </c>
      <c r="E22" s="13">
        <v>4.8499999999999996</v>
      </c>
      <c r="F22" s="14">
        <v>7.1999999999999995E-2</v>
      </c>
      <c r="G22" s="15">
        <f t="shared" si="0"/>
        <v>-1489.05712890625</v>
      </c>
      <c r="H22" s="14">
        <v>-30</v>
      </c>
      <c r="I22" s="14">
        <v>-1500</v>
      </c>
      <c r="J22" s="16">
        <f t="shared" si="1"/>
        <v>0.16105711460113525</v>
      </c>
      <c r="K22" s="16">
        <f t="shared" si="2"/>
        <v>7.1891382336616516E-2</v>
      </c>
      <c r="L22" s="16">
        <f t="shared" si="3"/>
        <v>1.2181199854239821E-3</v>
      </c>
      <c r="M22" s="5"/>
      <c r="N22" s="5"/>
      <c r="O22" s="5"/>
      <c r="P22" s="5"/>
      <c r="Q22" s="5"/>
    </row>
    <row r="23" spans="1:17" x14ac:dyDescent="0.25">
      <c r="A23" s="13">
        <v>7</v>
      </c>
      <c r="B23" s="13">
        <v>0.2</v>
      </c>
      <c r="C23" s="13">
        <v>1.64</v>
      </c>
      <c r="D23" s="13">
        <v>-0.46</v>
      </c>
      <c r="E23" s="13">
        <v>4.8499999999999996</v>
      </c>
      <c r="F23" s="14">
        <v>7.1999999999999995E-2</v>
      </c>
      <c r="G23" s="15">
        <f t="shared" si="0"/>
        <v>-1489.05712890625</v>
      </c>
      <c r="H23" s="14">
        <v>-30</v>
      </c>
      <c r="I23" s="14">
        <v>-1500</v>
      </c>
      <c r="J23" s="16">
        <f t="shared" si="1"/>
        <v>0.16105711460113525</v>
      </c>
      <c r="K23" s="16">
        <f t="shared" si="2"/>
        <v>7.1891382336616516E-2</v>
      </c>
      <c r="L23" s="16">
        <f t="shared" si="3"/>
        <v>1.2181199854239821E-3</v>
      </c>
      <c r="M23" s="5"/>
      <c r="N23" s="5"/>
      <c r="O23" s="5"/>
      <c r="P23" s="5"/>
      <c r="Q23" s="5"/>
    </row>
    <row r="24" spans="1:17" x14ac:dyDescent="0.25">
      <c r="A24" s="13">
        <v>8</v>
      </c>
      <c r="B24" s="13">
        <v>0.2</v>
      </c>
      <c r="C24" s="13">
        <v>1.64</v>
      </c>
      <c r="D24" s="13">
        <v>-0.46</v>
      </c>
      <c r="E24" s="13">
        <v>4.8499999999999996</v>
      </c>
      <c r="F24" s="14">
        <v>7.1999999999999995E-2</v>
      </c>
      <c r="G24" s="15">
        <f t="shared" si="0"/>
        <v>-1489.05712890625</v>
      </c>
      <c r="H24" s="14">
        <v>-30</v>
      </c>
      <c r="I24" s="14">
        <v>-1500</v>
      </c>
      <c r="J24" s="16">
        <f t="shared" si="1"/>
        <v>0.16105711460113525</v>
      </c>
      <c r="K24" s="16">
        <f t="shared" si="2"/>
        <v>7.1891382336616516E-2</v>
      </c>
      <c r="L24" s="16">
        <f t="shared" si="3"/>
        <v>1.2181199854239821E-3</v>
      </c>
      <c r="M24" s="5"/>
      <c r="N24" s="5"/>
      <c r="O24" s="5"/>
      <c r="P24" s="5"/>
      <c r="Q24" s="5"/>
    </row>
    <row r="25" spans="1:17" x14ac:dyDescent="0.25">
      <c r="A25" s="13">
        <v>9</v>
      </c>
      <c r="B25" s="13">
        <v>0.2</v>
      </c>
      <c r="C25" s="13">
        <v>1.64</v>
      </c>
      <c r="D25" s="13">
        <v>-0.46</v>
      </c>
      <c r="E25" s="13">
        <v>4.8499999999999996</v>
      </c>
      <c r="F25" s="14">
        <v>7.1999999999999995E-2</v>
      </c>
      <c r="G25" s="15">
        <f t="shared" si="0"/>
        <v>-1489.05712890625</v>
      </c>
      <c r="H25" s="14">
        <v>-30</v>
      </c>
      <c r="I25" s="14">
        <v>-1500</v>
      </c>
      <c r="J25" s="16">
        <f t="shared" si="1"/>
        <v>0.16105711460113525</v>
      </c>
      <c r="K25" s="16">
        <f t="shared" si="2"/>
        <v>7.1891382336616516E-2</v>
      </c>
      <c r="L25" s="16">
        <f t="shared" si="3"/>
        <v>1.2181199854239821E-3</v>
      </c>
      <c r="M25" s="5"/>
      <c r="N25" s="5"/>
      <c r="O25" s="5"/>
      <c r="P25" s="5"/>
      <c r="Q25" s="5"/>
    </row>
    <row r="26" spans="1:17" x14ac:dyDescent="0.25">
      <c r="A26" s="13">
        <v>10</v>
      </c>
      <c r="B26" s="13">
        <v>0.2</v>
      </c>
      <c r="C26" s="13">
        <v>1.64</v>
      </c>
      <c r="D26" s="13">
        <v>-0.46</v>
      </c>
      <c r="E26" s="13">
        <v>4.8499999999999996</v>
      </c>
      <c r="F26" s="14">
        <v>7.1999999999999995E-2</v>
      </c>
      <c r="G26" s="15">
        <f t="shared" si="0"/>
        <v>-1489.05712890625</v>
      </c>
      <c r="H26" s="14">
        <v>-30</v>
      </c>
      <c r="I26" s="14">
        <v>-1500</v>
      </c>
      <c r="J26" s="16">
        <f t="shared" si="1"/>
        <v>0.16105711460113525</v>
      </c>
      <c r="K26" s="16">
        <f t="shared" si="2"/>
        <v>7.1891382336616516E-2</v>
      </c>
      <c r="L26" s="16">
        <f t="shared" si="3"/>
        <v>1.2181199854239821E-3</v>
      </c>
      <c r="M26" s="5"/>
      <c r="N26" s="5"/>
      <c r="O26" s="5"/>
      <c r="P26" s="5"/>
      <c r="Q26" s="5"/>
    </row>
    <row r="27" spans="1:17" x14ac:dyDescent="0.25">
      <c r="A27" s="10"/>
      <c r="B27" s="10"/>
      <c r="C27" s="10"/>
      <c r="D27" s="10"/>
      <c r="H27" s="6"/>
    </row>
    <row r="28" spans="1:17" x14ac:dyDescent="0.25">
      <c r="A28" s="10"/>
      <c r="B28" s="10"/>
      <c r="C28" s="10"/>
      <c r="D28" s="10"/>
      <c r="F28" s="4"/>
      <c r="J28" s="9"/>
    </row>
    <row r="29" spans="1:17" x14ac:dyDescent="0.25">
      <c r="A29" s="10"/>
      <c r="B29" s="10"/>
      <c r="C29" s="10"/>
      <c r="D29" s="10"/>
    </row>
    <row r="30" spans="1:17" x14ac:dyDescent="0.25">
      <c r="A30" s="10"/>
      <c r="B30" s="10"/>
      <c r="C30" s="10" t="s">
        <v>20</v>
      </c>
      <c r="D30" s="10"/>
      <c r="K30" s="11"/>
    </row>
    <row r="31" spans="1:17" x14ac:dyDescent="0.25">
      <c r="A31" s="10"/>
      <c r="B31" s="10"/>
      <c r="C31" s="10"/>
      <c r="D31" s="10"/>
    </row>
    <row r="32" spans="1:17" x14ac:dyDescent="0.25">
      <c r="A32" s="10"/>
      <c r="B32" s="10"/>
      <c r="C32" s="10"/>
      <c r="D32" s="10"/>
      <c r="G32" s="2" t="s">
        <v>20</v>
      </c>
    </row>
    <row r="33" spans="1:4" x14ac:dyDescent="0.25">
      <c r="A33" s="10"/>
      <c r="B33" s="10"/>
      <c r="C33" s="10"/>
      <c r="D33" s="10"/>
    </row>
    <row r="34" spans="1:4" x14ac:dyDescent="0.25">
      <c r="A34" s="10"/>
      <c r="B34" s="10"/>
      <c r="C34" s="10"/>
      <c r="D34" s="10"/>
    </row>
    <row r="35" spans="1:4" x14ac:dyDescent="0.25">
      <c r="A35" s="10"/>
      <c r="B35" s="10"/>
      <c r="C35" s="10"/>
      <c r="D35" s="10"/>
    </row>
  </sheetData>
  <mergeCells count="1">
    <mergeCell ref="J14:L14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ropWaterUptakeInterface">
                <anchor moveWithCells="1" sizeWithCells="1">
                  <from>
                    <xdr:col>6</xdr:col>
                    <xdr:colOff>209550</xdr:colOff>
                    <xdr:row>8</xdr:row>
                    <xdr:rowOff>142875</xdr:rowOff>
                  </from>
                  <to>
                    <xdr:col>7</xdr:col>
                    <xdr:colOff>923925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M45"/>
  <sheetViews>
    <sheetView workbookViewId="0">
      <selection activeCell="O22" sqref="O22"/>
    </sheetView>
  </sheetViews>
  <sheetFormatPr defaultColWidth="12.85546875" defaultRowHeight="18" x14ac:dyDescent="0.25"/>
  <cols>
    <col min="1" max="3" width="12.85546875" style="2"/>
    <col min="4" max="4" width="18.85546875" style="2" customWidth="1"/>
    <col min="5" max="8" width="12.85546875" style="2"/>
    <col min="9" max="9" width="19.85546875" style="2" customWidth="1"/>
    <col min="10" max="16384" width="12.85546875" style="2"/>
  </cols>
  <sheetData>
    <row r="1" spans="1:13" x14ac:dyDescent="0.25">
      <c r="A1" s="1" t="s">
        <v>30</v>
      </c>
    </row>
    <row r="2" spans="1:13" x14ac:dyDescent="0.25">
      <c r="A2" s="9">
        <v>10.105263710021973</v>
      </c>
      <c r="B2" s="4" t="s">
        <v>31</v>
      </c>
    </row>
    <row r="3" spans="1:13" x14ac:dyDescent="0.25">
      <c r="A3" s="9">
        <v>12.631579399108887</v>
      </c>
      <c r="B3" s="4" t="s">
        <v>75</v>
      </c>
    </row>
    <row r="4" spans="1:13" x14ac:dyDescent="0.25">
      <c r="A4" s="9">
        <v>10.105263710021973</v>
      </c>
      <c r="B4" s="4" t="s">
        <v>95</v>
      </c>
    </row>
    <row r="5" spans="1:13" x14ac:dyDescent="0.25">
      <c r="A5" s="9">
        <v>7.8337836265563965</v>
      </c>
      <c r="B5" s="4" t="s">
        <v>35</v>
      </c>
    </row>
    <row r="6" spans="1:13" x14ac:dyDescent="0.25">
      <c r="A6" s="9">
        <v>7.8337836265563965</v>
      </c>
      <c r="B6" s="4" t="s">
        <v>76</v>
      </c>
    </row>
    <row r="7" spans="1:13" x14ac:dyDescent="0.25">
      <c r="A7" s="9">
        <v>0.22478187084197998</v>
      </c>
      <c r="B7" s="4" t="s">
        <v>77</v>
      </c>
    </row>
    <row r="8" spans="1:13" x14ac:dyDescent="0.25">
      <c r="H8" s="9"/>
      <c r="I8" s="9"/>
    </row>
    <row r="9" spans="1:13" x14ac:dyDescent="0.25">
      <c r="A9" s="4" t="s">
        <v>4</v>
      </c>
      <c r="B9" s="4" t="s">
        <v>29</v>
      </c>
      <c r="C9" s="4" t="s">
        <v>29</v>
      </c>
      <c r="D9" s="4" t="s">
        <v>94</v>
      </c>
      <c r="E9" s="4" t="s">
        <v>91</v>
      </c>
      <c r="F9" s="4" t="s">
        <v>24</v>
      </c>
      <c r="H9" s="9"/>
      <c r="I9" s="9"/>
    </row>
    <row r="10" spans="1:13" x14ac:dyDescent="0.25">
      <c r="A10" s="4" t="s">
        <v>28</v>
      </c>
      <c r="B10" s="4" t="s">
        <v>27</v>
      </c>
      <c r="C10" s="4" t="s">
        <v>90</v>
      </c>
      <c r="D10" s="4" t="s">
        <v>93</v>
      </c>
      <c r="E10" s="4" t="s">
        <v>48</v>
      </c>
      <c r="F10" s="4" t="s">
        <v>25</v>
      </c>
    </row>
    <row r="11" spans="1:13" x14ac:dyDescent="0.25">
      <c r="A11" s="4"/>
      <c r="B11" s="8" t="s">
        <v>92</v>
      </c>
      <c r="C11" s="8" t="s">
        <v>92</v>
      </c>
      <c r="D11" s="8" t="s">
        <v>92</v>
      </c>
      <c r="E11" s="8" t="s">
        <v>17</v>
      </c>
      <c r="F11" s="4" t="s">
        <v>26</v>
      </c>
      <c r="H11" s="9"/>
      <c r="I11" s="9"/>
      <c r="J11" s="9"/>
      <c r="K11" s="9"/>
      <c r="L11" s="9"/>
      <c r="M11" s="9"/>
    </row>
    <row r="12" spans="1:13" x14ac:dyDescent="0.25">
      <c r="A12" s="5">
        <v>1</v>
      </c>
      <c r="B12" s="5">
        <v>0.18999999761581421</v>
      </c>
      <c r="C12" s="5">
        <v>0.9998820424079895</v>
      </c>
      <c r="D12" s="5">
        <v>0.24852590262889862</v>
      </c>
      <c r="E12" s="5">
        <v>-504.54238891601563</v>
      </c>
      <c r="F12" s="5">
        <v>1.9957734346389771</v>
      </c>
      <c r="H12" s="9"/>
      <c r="I12" s="5"/>
      <c r="J12" s="5"/>
      <c r="K12" s="9"/>
      <c r="L12" s="9"/>
      <c r="M12" s="9"/>
    </row>
    <row r="13" spans="1:13" x14ac:dyDescent="0.25">
      <c r="A13" s="5">
        <v>2</v>
      </c>
      <c r="B13" s="5">
        <v>0.17000000178813934</v>
      </c>
      <c r="C13" s="5">
        <v>0.9998820424079895</v>
      </c>
      <c r="D13" s="5">
        <v>0.22236527502536774</v>
      </c>
      <c r="E13" s="5">
        <v>-504.54238891601563</v>
      </c>
      <c r="F13" s="5">
        <v>1.7856919765472412</v>
      </c>
      <c r="H13" s="9"/>
      <c r="J13" s="5"/>
    </row>
    <row r="14" spans="1:13" x14ac:dyDescent="0.25">
      <c r="A14" s="5">
        <v>3</v>
      </c>
      <c r="B14" s="5">
        <v>0.15000000596046448</v>
      </c>
      <c r="C14" s="5">
        <v>0.9998820424079895</v>
      </c>
      <c r="D14" s="5">
        <v>0.19620467722415924</v>
      </c>
      <c r="E14" s="5">
        <v>-504.54238891601563</v>
      </c>
      <c r="F14" s="5">
        <v>1.575610876083374</v>
      </c>
      <c r="H14" s="9"/>
      <c r="J14" s="5"/>
    </row>
    <row r="15" spans="1:13" x14ac:dyDescent="0.25">
      <c r="A15" s="5">
        <v>4</v>
      </c>
      <c r="B15" s="5">
        <v>0.13000001013278961</v>
      </c>
      <c r="C15" s="5">
        <v>0.9998820424079895</v>
      </c>
      <c r="D15" s="5">
        <v>0.17004404962062836</v>
      </c>
      <c r="E15" s="5">
        <v>-504.54238891601563</v>
      </c>
      <c r="F15" s="5">
        <v>1.3655292987823486</v>
      </c>
      <c r="H15" s="9"/>
      <c r="I15" s="5"/>
      <c r="J15" s="5"/>
    </row>
    <row r="16" spans="1:13" x14ac:dyDescent="0.25">
      <c r="A16" s="5">
        <v>5</v>
      </c>
      <c r="B16" s="5">
        <v>0.11000000685453415</v>
      </c>
      <c r="C16" s="5">
        <v>0.9998820424079895</v>
      </c>
      <c r="D16" s="5">
        <v>0.14388342201709747</v>
      </c>
      <c r="E16" s="5">
        <v>-504.54238891601563</v>
      </c>
      <c r="F16" s="5">
        <v>1.1554478406906128</v>
      </c>
      <c r="H16" s="9"/>
      <c r="I16" s="5"/>
      <c r="J16" s="5"/>
    </row>
    <row r="17" spans="1:10" x14ac:dyDescent="0.25">
      <c r="A17" s="5">
        <v>6</v>
      </c>
      <c r="B17" s="5">
        <v>8.999999612569809E-2</v>
      </c>
      <c r="C17" s="5">
        <v>5.802430585026741E-2</v>
      </c>
      <c r="D17" s="5">
        <v>6.8315891548991203E-3</v>
      </c>
      <c r="E17" s="5">
        <v>-1489.05712890625</v>
      </c>
      <c r="F17" s="5">
        <v>-1.5937203541398048E-2</v>
      </c>
      <c r="H17" s="9"/>
      <c r="I17" s="5"/>
      <c r="J17" s="5"/>
    </row>
    <row r="18" spans="1:10" x14ac:dyDescent="0.25">
      <c r="A18" s="5">
        <v>7</v>
      </c>
      <c r="B18" s="5">
        <v>6.9999992847442627E-2</v>
      </c>
      <c r="C18" s="5">
        <v>5.802430585026741E-2</v>
      </c>
      <c r="D18" s="5">
        <v>5.3134574554860592E-3</v>
      </c>
      <c r="E18" s="5">
        <v>-1489.05712890625</v>
      </c>
      <c r="F18" s="5">
        <v>-1.2395600788295269E-2</v>
      </c>
      <c r="H18" s="9"/>
      <c r="I18" s="5"/>
      <c r="J18" s="5"/>
    </row>
    <row r="19" spans="1:10" x14ac:dyDescent="0.25">
      <c r="A19" s="5">
        <v>8</v>
      </c>
      <c r="B19" s="5">
        <v>4.9999985843896866E-2</v>
      </c>
      <c r="C19" s="5">
        <v>5.802430585026741E-2</v>
      </c>
      <c r="D19" s="5">
        <v>3.7953262217342854E-3</v>
      </c>
      <c r="E19" s="5">
        <v>-1489.05712890625</v>
      </c>
      <c r="F19" s="5">
        <v>-8.8539989665150642E-3</v>
      </c>
      <c r="H19" s="9"/>
      <c r="I19" s="5"/>
      <c r="J19" s="5"/>
    </row>
    <row r="20" spans="1:10" x14ac:dyDescent="0.25">
      <c r="A20" s="5">
        <v>9</v>
      </c>
      <c r="B20" s="5">
        <v>2.9999980702996254E-2</v>
      </c>
      <c r="C20" s="5">
        <v>5.802430585026741E-2</v>
      </c>
      <c r="D20" s="5">
        <v>2.2771949879825115E-3</v>
      </c>
      <c r="E20" s="5">
        <v>-1489.05712890625</v>
      </c>
      <c r="F20" s="5">
        <v>-5.3123980760574341E-3</v>
      </c>
      <c r="H20" s="9"/>
      <c r="I20" s="5"/>
      <c r="J20" s="5"/>
    </row>
    <row r="21" spans="1:10" x14ac:dyDescent="0.25">
      <c r="A21" s="5">
        <v>10</v>
      </c>
      <c r="B21" s="5">
        <v>9.9999764934182167E-3</v>
      </c>
      <c r="C21" s="5">
        <v>5.802430585026741E-2</v>
      </c>
      <c r="D21" s="5">
        <v>7.5906369602307677E-4</v>
      </c>
      <c r="E21" s="5">
        <v>-1489.05712890625</v>
      </c>
      <c r="F21" s="5">
        <v>-1.7707962542772293E-3</v>
      </c>
      <c r="H21" s="9"/>
      <c r="I21" s="5"/>
      <c r="J21" s="5"/>
    </row>
    <row r="22" spans="1:10" x14ac:dyDescent="0.25">
      <c r="A22" s="5"/>
      <c r="B22" s="5"/>
      <c r="C22" s="5"/>
    </row>
    <row r="23" spans="1:10" x14ac:dyDescent="0.25">
      <c r="A23" s="5" t="s">
        <v>97</v>
      </c>
      <c r="B23" s="5">
        <f>SUM(B12:B21)</f>
        <v>0.99999995436519384</v>
      </c>
      <c r="D23" s="5">
        <f>SUM(D12:D21)</f>
        <v>0.99999995803227648</v>
      </c>
      <c r="F23" s="12">
        <f>SUM(F12:F21)</f>
        <v>7.8337834291160107</v>
      </c>
      <c r="G23" s="10" t="s">
        <v>33</v>
      </c>
    </row>
    <row r="24" spans="1:10" x14ac:dyDescent="0.25">
      <c r="A24" s="5"/>
      <c r="B24" s="5"/>
      <c r="C24" s="5"/>
    </row>
    <row r="25" spans="1:10" x14ac:dyDescent="0.25">
      <c r="A25" s="5">
        <v>-1267.4345703125</v>
      </c>
      <c r="B25" s="4" t="s">
        <v>87</v>
      </c>
      <c r="C25" s="5"/>
      <c r="F25" s="5"/>
      <c r="I25" s="5"/>
    </row>
    <row r="26" spans="1:10" x14ac:dyDescent="0.25">
      <c r="A26" s="5">
        <v>-523.22515869140625</v>
      </c>
      <c r="B26" s="4" t="s">
        <v>96</v>
      </c>
      <c r="C26" s="5"/>
    </row>
    <row r="27" spans="1:10" x14ac:dyDescent="0.25">
      <c r="A27" s="5"/>
      <c r="B27" s="5"/>
      <c r="C27" s="5"/>
    </row>
    <row r="28" spans="1:10" x14ac:dyDescent="0.25">
      <c r="A28" s="5"/>
      <c r="B28" s="5"/>
      <c r="C28" s="5"/>
    </row>
    <row r="29" spans="1:10" x14ac:dyDescent="0.25">
      <c r="A29" s="5"/>
      <c r="B29" s="5"/>
      <c r="C29" s="5"/>
    </row>
    <row r="30" spans="1:10" x14ac:dyDescent="0.25">
      <c r="A30" s="5"/>
      <c r="B30" s="5"/>
      <c r="C30" s="5"/>
    </row>
    <row r="31" spans="1:10" x14ac:dyDescent="0.25">
      <c r="A31" s="5"/>
      <c r="B31" s="5"/>
      <c r="C31" s="5"/>
    </row>
    <row r="32" spans="1:10" x14ac:dyDescent="0.25">
      <c r="A32" s="5"/>
      <c r="B32" s="5"/>
      <c r="C32" s="5"/>
    </row>
    <row r="33" spans="1:3" x14ac:dyDescent="0.25">
      <c r="A33" s="5"/>
      <c r="B33" s="5"/>
      <c r="C33" s="5"/>
    </row>
    <row r="34" spans="1:3" x14ac:dyDescent="0.25">
      <c r="A34" s="5"/>
      <c r="B34" s="5"/>
      <c r="C34" s="5"/>
    </row>
    <row r="35" spans="1:3" x14ac:dyDescent="0.25">
      <c r="A35" s="5"/>
      <c r="B35" s="5"/>
      <c r="C35" s="5"/>
    </row>
    <row r="36" spans="1:3" x14ac:dyDescent="0.25">
      <c r="A36" s="5"/>
      <c r="B36" s="5"/>
      <c r="C36" s="5"/>
    </row>
    <row r="37" spans="1:3" x14ac:dyDescent="0.25">
      <c r="A37" s="5"/>
      <c r="B37" s="5"/>
      <c r="C37" s="5"/>
    </row>
    <row r="38" spans="1:3" x14ac:dyDescent="0.25">
      <c r="A38" s="5"/>
      <c r="B38" s="5"/>
      <c r="C38" s="5"/>
    </row>
    <row r="39" spans="1:3" x14ac:dyDescent="0.25">
      <c r="A39" s="5"/>
      <c r="B39" s="5"/>
      <c r="C39" s="5"/>
    </row>
    <row r="40" spans="1:3" x14ac:dyDescent="0.25">
      <c r="A40" s="5"/>
      <c r="B40" s="5"/>
      <c r="C40" s="5"/>
    </row>
    <row r="41" spans="1:3" x14ac:dyDescent="0.25">
      <c r="A41" s="5"/>
      <c r="B41" s="5"/>
      <c r="C41" s="5"/>
    </row>
    <row r="42" spans="1:3" x14ac:dyDescent="0.25">
      <c r="A42" s="5"/>
      <c r="B42" s="5"/>
      <c r="C42" s="5"/>
    </row>
    <row r="43" spans="1:3" x14ac:dyDescent="0.25">
      <c r="A43" s="5"/>
      <c r="B43" s="5"/>
      <c r="C43" s="5"/>
    </row>
    <row r="44" spans="1:3" x14ac:dyDescent="0.25">
      <c r="A44" s="5"/>
      <c r="B44" s="5"/>
      <c r="C44" s="5"/>
    </row>
    <row r="45" spans="1:3" x14ac:dyDescent="0.25">
      <c r="A45" s="5"/>
      <c r="B45" s="5"/>
      <c r="C45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P19"/>
  <sheetViews>
    <sheetView topLeftCell="B1" zoomScale="150" zoomScaleNormal="150" workbookViewId="0">
      <selection activeCell="R9" sqref="R9"/>
    </sheetView>
  </sheetViews>
  <sheetFormatPr defaultRowHeight="12.75" x14ac:dyDescent="0.2"/>
  <cols>
    <col min="1" max="1" width="15.85546875" bestFit="1" customWidth="1"/>
    <col min="2" max="4" width="7.42578125" bestFit="1" customWidth="1"/>
    <col min="8" max="8" width="10.28515625" bestFit="1" customWidth="1"/>
    <col min="9" max="9" width="10.85546875" bestFit="1" customWidth="1"/>
    <col min="11" max="11" width="10" bestFit="1" customWidth="1"/>
    <col min="13" max="13" width="11.7109375" bestFit="1" customWidth="1"/>
    <col min="15" max="15" width="10.42578125" customWidth="1"/>
    <col min="16" max="16" width="12.140625" customWidth="1"/>
  </cols>
  <sheetData>
    <row r="2" spans="1:16" x14ac:dyDescent="0.2">
      <c r="M2" s="24" t="s">
        <v>89</v>
      </c>
    </row>
    <row r="3" spans="1:16" x14ac:dyDescent="0.2">
      <c r="B3" t="s">
        <v>36</v>
      </c>
      <c r="C3" t="s">
        <v>37</v>
      </c>
      <c r="D3" t="s">
        <v>38</v>
      </c>
      <c r="F3" t="s">
        <v>39</v>
      </c>
      <c r="G3" t="s">
        <v>12</v>
      </c>
      <c r="H3" t="s">
        <v>40</v>
      </c>
      <c r="I3" t="s">
        <v>41</v>
      </c>
      <c r="J3" t="s">
        <v>42</v>
      </c>
      <c r="K3" t="s">
        <v>43</v>
      </c>
      <c r="L3" t="s">
        <v>32</v>
      </c>
      <c r="M3" s="20" t="s">
        <v>21</v>
      </c>
      <c r="N3" s="20" t="s">
        <v>78</v>
      </c>
      <c r="O3" s="20" t="s">
        <v>42</v>
      </c>
      <c r="P3" s="20" t="s">
        <v>79</v>
      </c>
    </row>
    <row r="4" spans="1:16" x14ac:dyDescent="0.2">
      <c r="A4" t="s">
        <v>44</v>
      </c>
      <c r="B4" t="s">
        <v>45</v>
      </c>
      <c r="C4" t="s">
        <v>45</v>
      </c>
      <c r="D4" t="s">
        <v>45</v>
      </c>
      <c r="E4" t="s">
        <v>46</v>
      </c>
      <c r="F4" t="s">
        <v>47</v>
      </c>
      <c r="G4" t="s">
        <v>48</v>
      </c>
      <c r="H4" t="s">
        <v>49</v>
      </c>
      <c r="I4" t="s">
        <v>50</v>
      </c>
      <c r="J4" t="s">
        <v>51</v>
      </c>
      <c r="K4" t="s">
        <v>52</v>
      </c>
      <c r="L4" t="s">
        <v>53</v>
      </c>
      <c r="M4" s="20" t="s">
        <v>80</v>
      </c>
      <c r="N4" s="20" t="s">
        <v>42</v>
      </c>
      <c r="O4" s="20" t="s">
        <v>81</v>
      </c>
      <c r="P4" s="20" t="s">
        <v>82</v>
      </c>
    </row>
    <row r="5" spans="1:16" x14ac:dyDescent="0.2">
      <c r="B5" t="s">
        <v>54</v>
      </c>
      <c r="C5" t="s">
        <v>54</v>
      </c>
      <c r="D5" t="s">
        <v>54</v>
      </c>
      <c r="E5" t="s">
        <v>83</v>
      </c>
      <c r="F5" t="s">
        <v>84</v>
      </c>
      <c r="G5" t="s">
        <v>85</v>
      </c>
      <c r="I5" t="s">
        <v>86</v>
      </c>
      <c r="J5" t="s">
        <v>83</v>
      </c>
      <c r="K5" t="s">
        <v>83</v>
      </c>
      <c r="L5" t="s">
        <v>55</v>
      </c>
      <c r="M5" s="20" t="s">
        <v>85</v>
      </c>
      <c r="N5" s="20" t="s">
        <v>81</v>
      </c>
      <c r="O5" s="20" t="s">
        <v>83</v>
      </c>
      <c r="P5" s="20" t="s">
        <v>86</v>
      </c>
    </row>
    <row r="6" spans="1:16" x14ac:dyDescent="0.2">
      <c r="A6" t="s">
        <v>56</v>
      </c>
      <c r="B6">
        <v>5</v>
      </c>
      <c r="C6">
        <v>3</v>
      </c>
      <c r="D6">
        <v>92</v>
      </c>
      <c r="E6" s="17">
        <v>0.32617147210222897</v>
      </c>
      <c r="F6" s="17">
        <v>1.7856455989290931</v>
      </c>
      <c r="G6" s="17">
        <v>-0.50033758054992694</v>
      </c>
      <c r="H6" s="17">
        <v>4.0446372799999999</v>
      </c>
      <c r="I6" s="18">
        <v>3.4101889347321348E-3</v>
      </c>
      <c r="J6" s="17">
        <v>0.11578509527056295</v>
      </c>
      <c r="K6" s="17">
        <v>4.5064198506660359E-2</v>
      </c>
      <c r="L6" s="17">
        <v>9.5642110017193305E-2</v>
      </c>
      <c r="M6" s="21">
        <v>-15</v>
      </c>
      <c r="N6" s="22">
        <v>48</v>
      </c>
      <c r="O6" s="21">
        <v>0.14070630852385366</v>
      </c>
      <c r="P6" s="23">
        <v>4.6044147842999863E-3</v>
      </c>
    </row>
    <row r="7" spans="1:16" x14ac:dyDescent="0.2">
      <c r="A7" t="s">
        <v>57</v>
      </c>
      <c r="B7">
        <v>12</v>
      </c>
      <c r="C7">
        <v>7</v>
      </c>
      <c r="D7">
        <v>81</v>
      </c>
      <c r="E7" s="17">
        <v>0.38110140990581914</v>
      </c>
      <c r="F7" s="17">
        <v>1.640081263749579</v>
      </c>
      <c r="G7" s="17">
        <v>-0.4568464101691766</v>
      </c>
      <c r="H7" s="17">
        <v>4.8488766800000001</v>
      </c>
      <c r="I7" s="18">
        <v>1.3544232194972448E-3</v>
      </c>
      <c r="J7" s="17">
        <v>0.15765423512650786</v>
      </c>
      <c r="K7" s="17">
        <v>7.1755954578385392E-2</v>
      </c>
      <c r="L7" s="17">
        <v>0.10998523118248661</v>
      </c>
      <c r="M7" s="21">
        <v>-16.561775091882147</v>
      </c>
      <c r="N7" s="22">
        <v>58.411833945880986</v>
      </c>
      <c r="O7" s="21">
        <v>0.181741185760872</v>
      </c>
      <c r="P7" s="23">
        <v>4.5625571779731372E-3</v>
      </c>
    </row>
    <row r="8" spans="1:16" x14ac:dyDescent="0.2">
      <c r="A8" t="s">
        <v>58</v>
      </c>
      <c r="B8">
        <v>25</v>
      </c>
      <c r="C8">
        <v>10</v>
      </c>
      <c r="D8">
        <v>65</v>
      </c>
      <c r="E8" s="17">
        <v>0.41246850000000002</v>
      </c>
      <c r="F8" s="17">
        <v>1.5569584749999998</v>
      </c>
      <c r="G8" s="17">
        <v>-0.90748085074942586</v>
      </c>
      <c r="H8" s="17">
        <v>4.83399</v>
      </c>
      <c r="I8" s="18">
        <v>7.5787013947665452E-4</v>
      </c>
      <c r="J8" s="17">
        <v>0.19612640643028478</v>
      </c>
      <c r="K8" s="17">
        <v>8.9050349143402374E-2</v>
      </c>
      <c r="L8" s="17">
        <v>0.12526207829016636</v>
      </c>
      <c r="M8" s="21">
        <v>-21.495659591386637</v>
      </c>
      <c r="N8" s="22">
        <v>91.304397275910915</v>
      </c>
      <c r="O8" s="21">
        <v>0.21431242743356874</v>
      </c>
      <c r="P8" s="23">
        <v>1.1386922797893869E-3</v>
      </c>
    </row>
    <row r="9" spans="1:16" x14ac:dyDescent="0.2">
      <c r="A9" t="s">
        <v>59</v>
      </c>
      <c r="B9">
        <v>13</v>
      </c>
      <c r="C9">
        <v>27</v>
      </c>
      <c r="D9">
        <v>60</v>
      </c>
      <c r="E9" s="17">
        <v>0.47113601630668678</v>
      </c>
      <c r="F9" s="17">
        <v>1.40148955678728</v>
      </c>
      <c r="G9" s="17">
        <v>-0.22018581385412292</v>
      </c>
      <c r="H9" s="17">
        <v>8.1448280000000004</v>
      </c>
      <c r="I9" s="18">
        <v>9.6481500516314552E-5</v>
      </c>
      <c r="J9" s="17">
        <v>0.25469282493045509</v>
      </c>
      <c r="K9" s="17">
        <v>0.15940569779877617</v>
      </c>
      <c r="L9" s="17">
        <v>9.3245845827605811E-2</v>
      </c>
      <c r="M9" s="21">
        <v>-35.235311367437887</v>
      </c>
      <c r="N9" s="22">
        <v>182.90207578291924</v>
      </c>
      <c r="O9" s="21">
        <v>0.25265154362638198</v>
      </c>
      <c r="P9" s="23">
        <v>1.7755872163427326E-2</v>
      </c>
    </row>
    <row r="10" spans="1:16" x14ac:dyDescent="0.2">
      <c r="A10" t="s">
        <v>60</v>
      </c>
      <c r="B10">
        <v>40</v>
      </c>
      <c r="C10">
        <v>18</v>
      </c>
      <c r="D10">
        <v>42</v>
      </c>
      <c r="E10" s="17">
        <v>0.46171857165118185</v>
      </c>
      <c r="F10" s="17">
        <v>1.4264457851243681</v>
      </c>
      <c r="G10" s="17">
        <v>-1.71277906071968</v>
      </c>
      <c r="H10" s="17">
        <v>4.9655196799999999</v>
      </c>
      <c r="I10" s="18">
        <v>3.0028969929005232E-4</v>
      </c>
      <c r="J10" s="17">
        <v>0.25446642569106742</v>
      </c>
      <c r="K10" s="17">
        <v>0.11798125158726647</v>
      </c>
      <c r="L10" s="17">
        <v>0.1420719548897767</v>
      </c>
      <c r="M10" s="21">
        <v>-29.626512526977645</v>
      </c>
      <c r="N10" s="22">
        <v>145.5100835131843</v>
      </c>
      <c r="O10" s="21">
        <v>0.26005320647704316</v>
      </c>
      <c r="P10" s="23">
        <v>3.547581630278841E-4</v>
      </c>
    </row>
    <row r="11" spans="1:16" x14ac:dyDescent="0.2">
      <c r="A11" t="s">
        <v>61</v>
      </c>
      <c r="B11">
        <v>7</v>
      </c>
      <c r="C11">
        <v>40</v>
      </c>
      <c r="D11">
        <v>53</v>
      </c>
      <c r="E11" s="17">
        <v>0.49799255489344796</v>
      </c>
      <c r="F11" s="17">
        <v>1.3303197295323628</v>
      </c>
      <c r="G11" s="17">
        <v>-0.23654252858727048</v>
      </c>
      <c r="H11" s="17">
        <v>10.606622400000001</v>
      </c>
      <c r="I11" s="18">
        <v>4.0255348360924593E-5</v>
      </c>
      <c r="J11" s="17">
        <v>0.31262807296057704</v>
      </c>
      <c r="K11" s="17">
        <v>0.21814757520637718</v>
      </c>
      <c r="L11" s="17">
        <v>8.8379434655346201E-2</v>
      </c>
      <c r="M11" s="21">
        <v>-40.672269488758083</v>
      </c>
      <c r="N11" s="22">
        <v>219.14846325838721</v>
      </c>
      <c r="O11" s="21">
        <v>0.30652700986172338</v>
      </c>
      <c r="P11" s="23">
        <v>1.0815037887897845E-2</v>
      </c>
    </row>
    <row r="12" spans="1:16" x14ac:dyDescent="0.2">
      <c r="A12" t="s">
        <v>62</v>
      </c>
      <c r="B12">
        <v>65</v>
      </c>
      <c r="C12">
        <v>15</v>
      </c>
      <c r="D12">
        <v>20</v>
      </c>
      <c r="E12" s="17">
        <v>0.46756724465550492</v>
      </c>
      <c r="F12" s="17">
        <v>1.4109468016629119</v>
      </c>
      <c r="G12" s="17">
        <v>-5.0031957992220359</v>
      </c>
      <c r="H12" s="17">
        <v>3.8485400000000003</v>
      </c>
      <c r="I12" s="18">
        <v>5.2882756934608758E-4</v>
      </c>
      <c r="J12" s="17">
        <v>0.28639595090886732</v>
      </c>
      <c r="K12" s="17">
        <v>0.10623410873471567</v>
      </c>
      <c r="L12" s="17">
        <v>0.19518871114828451</v>
      </c>
      <c r="M12" s="21">
        <v>-27.104458431846872</v>
      </c>
      <c r="N12" s="22">
        <v>128.69638954564581</v>
      </c>
      <c r="O12" s="21">
        <v>0.30142281988300018</v>
      </c>
      <c r="P12" s="23">
        <v>3.6928684195883031E-5</v>
      </c>
    </row>
    <row r="13" spans="1:16" x14ac:dyDescent="0.2">
      <c r="A13" t="s">
        <v>63</v>
      </c>
      <c r="B13">
        <v>87</v>
      </c>
      <c r="C13">
        <v>7</v>
      </c>
      <c r="D13">
        <v>6</v>
      </c>
      <c r="E13" s="17">
        <v>0.43548390990581914</v>
      </c>
      <c r="F13" s="17">
        <v>1.4959676387495791</v>
      </c>
      <c r="G13" s="17">
        <v>-10.895010965097155</v>
      </c>
      <c r="H13" s="17">
        <v>3.25755968</v>
      </c>
      <c r="I13" s="18">
        <v>1.2026086947898374E-3</v>
      </c>
      <c r="J13" s="17">
        <v>0.30990436454103615</v>
      </c>
      <c r="K13" s="17">
        <v>9.6025702412702141E-2</v>
      </c>
      <c r="L13" s="17">
        <v>0.21387866212833401</v>
      </c>
      <c r="M13" s="21">
        <v>-33</v>
      </c>
      <c r="N13" s="22">
        <v>168</v>
      </c>
      <c r="O13" s="21">
        <v>0.30990436454103615</v>
      </c>
      <c r="P13" s="23">
        <v>7.3768657044165959E-6</v>
      </c>
    </row>
    <row r="14" spans="1:16" x14ac:dyDescent="0.2">
      <c r="A14" t="s">
        <v>64</v>
      </c>
      <c r="B14">
        <v>55</v>
      </c>
      <c r="C14">
        <v>33</v>
      </c>
      <c r="D14">
        <v>12</v>
      </c>
      <c r="E14" s="17">
        <v>0.51706117872841839</v>
      </c>
      <c r="F14" s="17">
        <v>1.2797878763696913</v>
      </c>
      <c r="G14" s="17">
        <v>-3.8602194064788407</v>
      </c>
      <c r="H14" s="17">
        <v>5.7231396800000001</v>
      </c>
      <c r="I14" s="18">
        <v>1.3100803823147945E-4</v>
      </c>
      <c r="J14" s="17">
        <v>0.35539506051188025</v>
      </c>
      <c r="K14" s="17">
        <v>0.18242490040101272</v>
      </c>
      <c r="L14" s="17">
        <v>0.16429873253723165</v>
      </c>
      <c r="M14" s="21">
        <v>-38.011189097765822</v>
      </c>
      <c r="N14" s="22">
        <v>201.40792731843882</v>
      </c>
      <c r="O14" s="21">
        <v>0.34672363293824437</v>
      </c>
      <c r="P14" s="23">
        <v>5.8017487706385331E-5</v>
      </c>
    </row>
    <row r="15" spans="1:16" x14ac:dyDescent="0.2">
      <c r="A15" t="s">
        <v>65</v>
      </c>
      <c r="B15">
        <v>58</v>
      </c>
      <c r="C15">
        <v>33</v>
      </c>
      <c r="D15">
        <v>9</v>
      </c>
      <c r="E15" s="17">
        <v>0.51923647872841838</v>
      </c>
      <c r="F15" s="17">
        <v>1.2740233313696911</v>
      </c>
      <c r="G15" s="17">
        <v>-4.0513667778339277</v>
      </c>
      <c r="H15" s="17">
        <v>5.6507073200000004</v>
      </c>
      <c r="I15" s="18">
        <v>1.3968857414707844E-4</v>
      </c>
      <c r="J15" s="17">
        <v>0.35822999527445348</v>
      </c>
      <c r="K15" s="17">
        <v>0.18231489585231181</v>
      </c>
      <c r="L15" s="17">
        <v>0.16706385729699097</v>
      </c>
      <c r="M15" s="21">
        <v>-38.011189097765822</v>
      </c>
      <c r="N15" s="22">
        <v>201.40792731843882</v>
      </c>
      <c r="O15" s="21">
        <v>0.34937875314930278</v>
      </c>
      <c r="P15" s="23">
        <v>5.3077079946880049E-5</v>
      </c>
    </row>
    <row r="16" spans="1:16" x14ac:dyDescent="0.2">
      <c r="A16" t="s">
        <v>66</v>
      </c>
      <c r="B16">
        <v>45</v>
      </c>
      <c r="C16">
        <v>45</v>
      </c>
      <c r="D16">
        <v>10</v>
      </c>
      <c r="E16" s="17">
        <v>0.53569891675773385</v>
      </c>
      <c r="F16" s="17">
        <v>1.2303978705920053</v>
      </c>
      <c r="G16" s="17">
        <v>-5.0221286577210709</v>
      </c>
      <c r="H16" s="17">
        <v>7.7922800000000008</v>
      </c>
      <c r="I16" s="18">
        <v>7.8356576656177311E-5</v>
      </c>
      <c r="J16" s="17">
        <v>0.42071990231582002</v>
      </c>
      <c r="K16" s="17">
        <v>0.25779388149429666</v>
      </c>
      <c r="L16" s="17">
        <v>0.14973031707040374</v>
      </c>
      <c r="M16" s="21">
        <v>-42.301562220992835</v>
      </c>
      <c r="N16" s="22">
        <v>230.01041480661891</v>
      </c>
      <c r="O16" s="21">
        <v>0.4075241985647004</v>
      </c>
      <c r="P16" s="23">
        <v>2.2801062530073225E-5</v>
      </c>
    </row>
    <row r="17" spans="1:16" x14ac:dyDescent="0.2">
      <c r="A17" t="s">
        <v>67</v>
      </c>
      <c r="B17">
        <v>20</v>
      </c>
      <c r="C17">
        <v>60</v>
      </c>
      <c r="D17">
        <v>20</v>
      </c>
      <c r="E17" s="17">
        <v>0.5443900995489529</v>
      </c>
      <c r="F17" s="17">
        <v>1.2073662361952748</v>
      </c>
      <c r="G17" s="17">
        <v>-7.1942274278519482</v>
      </c>
      <c r="H17" s="17">
        <v>11.968160000000001</v>
      </c>
      <c r="I17" s="18">
        <v>5.3222636930552388E-5</v>
      </c>
      <c r="J17" s="17">
        <v>0.47933161698145443</v>
      </c>
      <c r="K17" s="17">
        <v>0.34844733649838328</v>
      </c>
      <c r="L17" s="17">
        <v>0.11752777900375805</v>
      </c>
      <c r="M17" s="21">
        <v>-46.281068329218314</v>
      </c>
      <c r="N17" s="22">
        <v>256.5404555281221</v>
      </c>
      <c r="O17" s="21">
        <v>0.46597511550214132</v>
      </c>
      <c r="P17" s="23">
        <v>6.427178655796683E-6</v>
      </c>
    </row>
    <row r="19" spans="1:16" x14ac:dyDescent="0.2">
      <c r="A19" s="19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Soil Hydraulic Properties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Gift License - May, 1994</dc:creator>
  <cp:lastModifiedBy>Stockle, Claudio Osvaldo</cp:lastModifiedBy>
  <dcterms:created xsi:type="dcterms:W3CDTF">2003-02-24T18:00:58Z</dcterms:created>
  <dcterms:modified xsi:type="dcterms:W3CDTF">2024-04-15T21:51:28Z</dcterms:modified>
</cp:coreProperties>
</file>